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トップ" sheetId="1" state="visible" r:id="rId1"/>
    <sheet name="見積シミュレーション" sheetId="2" state="visible" r:id="rId2"/>
    <sheet name="プラン比較" sheetId="3" state="visible" r:id="rId3"/>
    <sheet name="5年TCO比較" sheetId="4" state="visible" r:id="rId4"/>
    <sheet name="オプション" sheetId="5" state="visible" r:id="rId5"/>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0&quot;倍&quot;"/>
  </numFmts>
  <fonts count="11">
    <font>
      <name val="Calibri"/>
      <family val="2"/>
      <color theme="1"/>
      <sz val="11"/>
      <scheme val="minor"/>
    </font>
    <font>
      <name val="Yu Gothic"/>
      <b val="1"/>
      <color rgb="00312E81"/>
      <sz val="24"/>
    </font>
    <font>
      <name val="Yu Gothic"/>
      <color rgb="004B5563"/>
      <sz val="13"/>
    </font>
    <font>
      <name val="Yu Gothic"/>
      <color rgb="00111827"/>
      <sz val="10"/>
    </font>
    <font>
      <name val="Yu Gothic"/>
      <b val="1"/>
      <color rgb="001F2937"/>
      <sz val="13"/>
    </font>
    <font>
      <name val="Yu Gothic"/>
      <b val="1"/>
      <color rgb="00111827"/>
      <sz val="10"/>
    </font>
    <font>
      <name val="Yu Gothic"/>
      <color rgb="006B7280"/>
      <sz val="9"/>
    </font>
    <font>
      <name val="Yu Gothic"/>
      <b val="1"/>
      <color rgb="001E3A8A"/>
      <sz val="11"/>
    </font>
    <font>
      <name val="Yu Gothic"/>
      <b val="1"/>
      <color rgb="001F2937"/>
      <sz val="18"/>
    </font>
    <font>
      <name val="Yu Gothic"/>
      <b val="1"/>
      <color rgb="00047857"/>
      <sz val="12"/>
    </font>
    <font>
      <name val="Yu Gothic"/>
      <b val="1"/>
      <color rgb="00FFFFFF"/>
      <sz val="11"/>
    </font>
  </fonts>
  <fills count="8">
    <fill>
      <patternFill/>
    </fill>
    <fill>
      <patternFill patternType="gray125"/>
    </fill>
    <fill>
      <patternFill patternType="solid">
        <fgColor rgb="00E0E7FF"/>
      </patternFill>
    </fill>
    <fill>
      <patternFill patternType="solid">
        <fgColor rgb="00FEF3C7"/>
      </patternFill>
    </fill>
    <fill>
      <patternFill patternType="solid">
        <fgColor rgb="00D1FAE5"/>
      </patternFill>
    </fill>
    <fill>
      <patternFill patternType="solid">
        <fgColor rgb="00312E81"/>
      </patternFill>
    </fill>
    <fill>
      <patternFill patternType="solid">
        <fgColor rgb="00F9FAFB"/>
      </patternFill>
    </fill>
    <fill>
      <patternFill patternType="solid">
        <fgColor rgb="00FEE2E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0" borderId="0" pivotButton="0" quotePrefix="0" xfId="0"/>
    <xf numFmtId="0" fontId="5" fillId="0" borderId="0" pivotButton="0" quotePrefix="0" xfId="0"/>
    <xf numFmtId="0" fontId="7" fillId="3" borderId="1" applyAlignment="1" pivotButton="0" quotePrefix="0" xfId="0">
      <alignment horizontal="left" vertical="center" wrapText="1"/>
    </xf>
    <xf numFmtId="0" fontId="8" fillId="0" borderId="0" pivotButton="0" quotePrefix="0" xfId="0"/>
    <xf numFmtId="0" fontId="6" fillId="0" borderId="0" applyAlignment="1" pivotButton="0" quotePrefix="0" xfId="0">
      <alignment horizontal="left" vertical="center" wrapText="1"/>
    </xf>
    <xf numFmtId="3" fontId="7" fillId="3" borderId="1" applyAlignment="1" pivotButton="0" quotePrefix="0" xfId="0">
      <alignment horizontal="right" vertical="center"/>
    </xf>
    <xf numFmtId="49" fontId="7" fillId="3" borderId="1" applyAlignment="1" pivotButton="0" quotePrefix="0" xfId="0">
      <alignment horizontal="center" vertical="center" wrapText="1"/>
    </xf>
    <xf numFmtId="164" fontId="7" fillId="3" borderId="1" applyAlignment="1" pivotButton="0" quotePrefix="0" xfId="0">
      <alignment horizontal="right" vertical="center"/>
    </xf>
    <xf numFmtId="9" fontId="7" fillId="3" borderId="1" applyAlignment="1" pivotButton="0" quotePrefix="0" xfId="0">
      <alignment horizontal="right" vertical="center"/>
    </xf>
    <xf numFmtId="164" fontId="3" fillId="0" borderId="1" applyAlignment="1" pivotButton="0" quotePrefix="0" xfId="0">
      <alignment horizontal="right" vertical="center"/>
    </xf>
    <xf numFmtId="164" fontId="9" fillId="4" borderId="1" applyAlignment="1" pivotButton="0" quotePrefix="0" xfId="0">
      <alignment horizontal="right" vertical="center"/>
    </xf>
    <xf numFmtId="0" fontId="10"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5"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0" applyAlignment="1" pivotButton="0" quotePrefix="0" xfId="0">
      <alignment horizontal="left" vertical="center" wrapText="1"/>
    </xf>
    <xf numFmtId="164" fontId="5" fillId="7" borderId="1" applyAlignment="1" pivotButton="0" quotePrefix="0" xfId="0">
      <alignment horizontal="right" vertical="center"/>
    </xf>
    <xf numFmtId="0" fontId="5" fillId="4" borderId="1" applyAlignment="1" pivotButton="0" quotePrefix="0" xfId="0">
      <alignment horizontal="left" vertical="center" wrapText="1"/>
    </xf>
    <xf numFmtId="164" fontId="3" fillId="4" borderId="1" applyAlignment="1" pivotButton="0" quotePrefix="0" xfId="0">
      <alignment horizontal="right" vertical="center"/>
    </xf>
    <xf numFmtId="165" fontId="5" fillId="4" borderId="1" applyAlignment="1" pivotButton="0" quotePrefix="0" xfId="0">
      <alignment horizontal="right" vertical="center"/>
    </xf>
    <xf numFmtId="0" fontId="3"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4" customWidth="1" min="1" max="1"/>
    <col width="30" customWidth="1" min="2" max="2"/>
    <col width="30" customWidth="1" min="3" max="3"/>
    <col width="30" customWidth="1" min="4" max="4"/>
    <col width="30" customWidth="1" min="5" max="5"/>
    <col width="4" customWidth="1" min="6" max="6"/>
  </cols>
  <sheetData>
    <row r="2">
      <c r="B2" s="1" t="inlineStr">
        <is>
          <t>LinguaSync</t>
        </is>
      </c>
    </row>
    <row r="3">
      <c r="B3" s="2" t="inlineStr">
        <is>
          <t>料金見積・ROI シミュレーション (税抜)</t>
        </is>
      </c>
    </row>
    <row r="5" ht="18" customHeight="1">
      <c r="B5" s="3" t="inlineStr">
        <is>
          <t>本ファイルは営業・お客様への料金提示・社内見積検討に使用するワーク
シートです。「見積シミュレーション」シートに店舗数・プラン等を入力
すると、自動的に月額・年額・5 年総コストおよび自社開発との比較が
計算されます。</t>
        </is>
      </c>
    </row>
    <row r="6" ht="18" customHeight="1"/>
    <row r="7" ht="18" customHeight="1"/>
    <row r="8" ht="18" customHeight="1"/>
    <row r="10">
      <c r="B10" s="4" t="inlineStr">
        <is>
          <t>シート構成</t>
        </is>
      </c>
    </row>
    <row r="11">
      <c r="B11" s="5" t="inlineStr">
        <is>
          <t>見積シミュレーション</t>
        </is>
      </c>
      <c r="C11" s="6" t="inlineStr">
        <is>
          <t>店舗数・プラン入力で月額/年額/5 年総コストを自動計算</t>
        </is>
      </c>
      <c r="D11" s="7" t="n"/>
      <c r="E11" s="8" t="n"/>
    </row>
    <row r="12">
      <c r="B12" s="5" t="inlineStr">
        <is>
          <t>プラン比較</t>
        </is>
      </c>
      <c r="C12" s="6" t="inlineStr">
        <is>
          <t>Starter / Business / Enterprise の機能・SLA・サポート比較表</t>
        </is>
      </c>
      <c r="D12" s="7" t="n"/>
      <c r="E12" s="8" t="n"/>
    </row>
    <row r="13">
      <c r="B13" s="5" t="inlineStr">
        <is>
          <t>5年TCO比較</t>
        </is>
      </c>
      <c r="C13" s="6" t="inlineStr">
        <is>
          <t>自社開発 (中堅 IT / 大手 SIer) vs SaaS の 5 年総額比較</t>
        </is>
      </c>
      <c r="D13" s="7" t="n"/>
      <c r="E13" s="8" t="n"/>
    </row>
    <row r="14">
      <c r="B14" s="5" t="inlineStr">
        <is>
          <t>オプション</t>
        </is>
      </c>
      <c r="C14" s="6" t="inlineStr">
        <is>
          <t>追加で発生する可能性のある費用項目とアドオン料金</t>
        </is>
      </c>
      <c r="D14" s="7" t="n"/>
      <c r="E14" s="8" t="n"/>
    </row>
    <row r="16">
      <c r="B16" s="4" t="inlineStr">
        <is>
          <t>ご使用にあたって</t>
        </is>
      </c>
    </row>
    <row r="17">
      <c r="B17" s="9" t="inlineStr">
        <is>
          <t>• 黄色セル (FEF3C7) は入力項目です。値を変更すると下記が自動更新されます。</t>
        </is>
      </c>
    </row>
    <row r="18">
      <c r="B18" s="9" t="inlineStr">
        <is>
          <t>• 緑色セル (D1FAE5) は自動計算結果です。直接編集しないでください。</t>
        </is>
      </c>
    </row>
    <row r="19">
      <c r="B19" s="9" t="inlineStr">
        <is>
          <t>• 表記は全て税抜です。実際の見積もりには税額・送金手数料等を別途加算してください。</t>
        </is>
      </c>
    </row>
    <row r="20">
      <c r="B20" s="9" t="inlineStr">
        <is>
          <t>• 想定為替: ¥150/$。為替変動が大きい場合、「5年TCO比較」シートの定義値を調整してください。</t>
        </is>
      </c>
    </row>
    <row r="21">
      <c r="B21" s="9" t="inlineStr">
        <is>
          <t>• Google Translate API 単価: $20/100万字 (2026年時点)。GCP 値上げに応じて調整可能。</t>
        </is>
      </c>
    </row>
    <row r="24">
      <c r="B24" s="10" t="inlineStr">
        <is>
          <t>提案先：</t>
        </is>
      </c>
      <c r="C24" s="11" t="inlineStr">
        <is>
          <t>[貴社名]</t>
        </is>
      </c>
      <c r="D24" s="7" t="n"/>
      <c r="E24" s="8" t="n"/>
    </row>
    <row r="25">
      <c r="B25" s="10" t="inlineStr">
        <is>
          <t>提案者：</t>
        </is>
      </c>
      <c r="C25" s="11" t="inlineStr">
        <is>
          <t>[当社名]</t>
        </is>
      </c>
      <c r="D25" s="7" t="n"/>
      <c r="E25" s="8" t="n"/>
    </row>
    <row r="26">
      <c r="B26" s="10" t="inlineStr">
        <is>
          <t>作成日：</t>
        </is>
      </c>
      <c r="C26" s="11" t="inlineStr">
        <is>
          <t>[YYYY年MM月DD日]</t>
        </is>
      </c>
      <c r="D26" s="7" t="n"/>
      <c r="E26" s="8" t="n"/>
    </row>
  </sheetData>
  <mergeCells count="15">
    <mergeCell ref="C26:E26"/>
    <mergeCell ref="C12:E12"/>
    <mergeCell ref="B2:E2"/>
    <mergeCell ref="B3:E3"/>
    <mergeCell ref="C24:E24"/>
    <mergeCell ref="B18:E18"/>
    <mergeCell ref="C14:E14"/>
    <mergeCell ref="B17:E17"/>
    <mergeCell ref="B5:E8"/>
    <mergeCell ref="C11:E11"/>
    <mergeCell ref="B19:E19"/>
    <mergeCell ref="C25:E25"/>
    <mergeCell ref="B21:E21"/>
    <mergeCell ref="B20:E20"/>
    <mergeCell ref="C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28"/>
  <sheetViews>
    <sheetView workbookViewId="0">
      <selection activeCell="A1" sqref="A1"/>
    </sheetView>
  </sheetViews>
  <sheetFormatPr baseColWidth="8" defaultRowHeight="15"/>
  <cols>
    <col width="4" customWidth="1" min="1" max="1"/>
    <col width="28" customWidth="1" min="2" max="2"/>
    <col width="20" customWidth="1" min="3" max="3"/>
    <col width="18" customWidth="1" min="4" max="4"/>
    <col width="18" customWidth="1" min="5" max="5"/>
    <col width="18" customWidth="1" min="6" max="6"/>
    <col width="18" customWidth="1" min="7" max="7"/>
    <col width="4" customWidth="1" min="8" max="8"/>
  </cols>
  <sheetData>
    <row r="2">
      <c r="B2" s="12" t="inlineStr">
        <is>
          <t>見積シミュレーション</t>
        </is>
      </c>
    </row>
    <row r="3">
      <c r="B3" s="13" t="inlineStr">
        <is>
          <t>黄色セルに値を入力すると、緑色セルが自動計算されます。</t>
        </is>
      </c>
    </row>
    <row r="5">
      <c r="B5" s="4" t="inlineStr">
        <is>
          <t>入力項目</t>
        </is>
      </c>
    </row>
    <row r="6">
      <c r="B6" s="5" t="inlineStr">
        <is>
          <t>店舗数</t>
        </is>
      </c>
      <c r="C6" s="14" t="n">
        <v>10</v>
      </c>
      <c r="D6" s="13" t="inlineStr">
        <is>
          <t>ご利用予定の店舗数</t>
        </is>
      </c>
    </row>
    <row r="7">
      <c r="B7" s="5" t="inlineStr">
        <is>
          <t>選択プラン</t>
        </is>
      </c>
      <c r="C7" s="15" t="inlineStr">
        <is>
          <t>Business</t>
        </is>
      </c>
      <c r="D7" s="13" t="inlineStr">
        <is>
          <t>Starter / Business / Enterprise</t>
        </is>
      </c>
    </row>
    <row r="8">
      <c r="B8" s="5" t="inlineStr">
        <is>
          <t>Starter 月額/店舗</t>
        </is>
      </c>
      <c r="C8" s="16" t="n">
        <v>15800</v>
      </c>
      <c r="D8" s="13" t="inlineStr">
        <is>
          <t>1 店舗のみ</t>
        </is>
      </c>
    </row>
    <row r="9">
      <c r="B9" s="5" t="inlineStr">
        <is>
          <t>Business 月額/店舗</t>
        </is>
      </c>
      <c r="C9" s="16" t="n">
        <v>12800</v>
      </c>
      <c r="D9" s="13" t="inlineStr">
        <is>
          <t>1〜5 店舗向け</t>
        </is>
      </c>
    </row>
    <row r="10">
      <c r="B10" s="5" t="inlineStr">
        <is>
          <t>Enterprise 月額/店舗</t>
        </is>
      </c>
      <c r="C10" s="16" t="n">
        <v>9800</v>
      </c>
      <c r="D10" s="13" t="inlineStr">
        <is>
          <t>10 店舗以上 + 本部ライセンス</t>
        </is>
      </c>
    </row>
    <row r="11">
      <c r="B11" s="5" t="inlineStr">
        <is>
          <t>Enterprise 本部ライセンス/月</t>
        </is>
      </c>
      <c r="C11" s="16" t="n">
        <v>100000</v>
      </c>
      <c r="D11" s="13" t="inlineStr">
        <is>
          <t>Enterprise のみ</t>
        </is>
      </c>
    </row>
    <row r="12">
      <c r="B12" s="5" t="inlineStr">
        <is>
          <t>MVP 開発費 (一括)</t>
        </is>
      </c>
      <c r="C12" s="16" t="n">
        <v>5000000</v>
      </c>
      <c r="D12" s="13" t="inlineStr">
        <is>
          <t>全プラン共通の初期構築費</t>
        </is>
      </c>
    </row>
    <row r="13">
      <c r="B13" s="5" t="inlineStr">
        <is>
          <t>年間契約割引 (%)</t>
        </is>
      </c>
      <c r="C13" s="17" t="n">
        <v>0.1</v>
      </c>
      <c r="D13" s="13" t="inlineStr">
        <is>
          <t>10〜20% (Enterprise 年契約時)</t>
        </is>
      </c>
    </row>
    <row r="14">
      <c r="B14" s="5" t="inlineStr">
        <is>
          <t>契約年数</t>
        </is>
      </c>
      <c r="C14" s="14" t="n">
        <v>1</v>
      </c>
      <c r="D14" s="13" t="inlineStr">
        <is>
          <t>ROI 計算で 1〜5 年</t>
        </is>
      </c>
    </row>
    <row r="17">
      <c r="B17" s="4" t="inlineStr">
        <is>
          <t>自動計算結果</t>
        </is>
      </c>
    </row>
    <row r="18">
      <c r="B18" s="5" t="inlineStr">
        <is>
          <t>選択プラン単価/店舗/月</t>
        </is>
      </c>
      <c r="C18" s="18">
        <f>IF($C$7="Starter",$C$8,IF($C$7="Business",$C$9,IF($C$7="Enterprise",$C$10,$C$9)))</f>
        <v/>
      </c>
    </row>
    <row r="19">
      <c r="B19" s="5" t="inlineStr">
        <is>
          <t>店舗数 × 単価/月 (税抜)</t>
        </is>
      </c>
      <c r="C19" s="18">
        <f>$C$6*$C$18</f>
        <v/>
      </c>
    </row>
    <row r="20">
      <c r="B20" s="5" t="inlineStr">
        <is>
          <t>本部ライセンス/月 (Enterprise のみ)</t>
        </is>
      </c>
      <c r="C20" s="18">
        <f>IF($C$7="Enterprise",$C$11,0)</f>
        <v/>
      </c>
    </row>
    <row r="21">
      <c r="B21" s="5" t="inlineStr">
        <is>
          <t>月額合計 (税抜)</t>
        </is>
      </c>
      <c r="C21" s="19">
        <f>$C$19+$C$20</f>
        <v/>
      </c>
    </row>
    <row r="22">
      <c r="B22" s="5" t="inlineStr">
        <is>
          <t>年間契約割引額/月</t>
        </is>
      </c>
      <c r="C22" s="18">
        <f>$C$21*$C$13</f>
        <v/>
      </c>
    </row>
    <row r="23">
      <c r="B23" s="5" t="inlineStr">
        <is>
          <t>月額 (年間契約割引適用後)</t>
        </is>
      </c>
      <c r="C23" s="19">
        <f>$C$21-$C$22</f>
        <v/>
      </c>
    </row>
    <row r="24">
      <c r="B24" s="5" t="inlineStr">
        <is>
          <t>年額 (税抜・割引後)</t>
        </is>
      </c>
      <c r="C24" s="19">
        <f>$C$23*12</f>
        <v/>
      </c>
    </row>
    <row r="25">
      <c r="B25" s="5" t="inlineStr">
        <is>
          <t>MVP 開発費 (一括)</t>
        </is>
      </c>
      <c r="C25" s="18">
        <f>$C$12</f>
        <v/>
      </c>
    </row>
    <row r="26">
      <c r="B26" s="5" t="inlineStr">
        <is>
          <t>契約年数の総額 (税抜)</t>
        </is>
      </c>
      <c r="C26" s="19">
        <f>$C$24*$C$14+$C$25</f>
        <v/>
      </c>
    </row>
    <row r="28">
      <c r="B28" s="9" t="inlineStr">
        <is>
          <t>※ 上記は基準価格の自動見積もりです。実際の最終価格は規模・要件・契約条件に応じ個別協議となります。</t>
        </is>
      </c>
    </row>
  </sheetData>
  <mergeCells count="11">
    <mergeCell ref="D14:G14"/>
    <mergeCell ref="D12:G12"/>
    <mergeCell ref="D9:G9"/>
    <mergeCell ref="D10:G10"/>
    <mergeCell ref="D11:G11"/>
    <mergeCell ref="B28:G28"/>
    <mergeCell ref="D13:G13"/>
    <mergeCell ref="D6:G6"/>
    <mergeCell ref="B3:G3"/>
    <mergeCell ref="D7:G7"/>
    <mergeCell ref="D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24" customWidth="1" min="3" max="3"/>
    <col width="24" customWidth="1" min="4" max="4"/>
    <col width="28" customWidth="1" min="5" max="5"/>
    <col width="4" customWidth="1" min="6" max="6"/>
  </cols>
  <sheetData>
    <row r="2">
      <c r="B2" s="12" t="inlineStr">
        <is>
          <t>プラン別 機能・サービス比較</t>
        </is>
      </c>
    </row>
    <row r="4" ht="28" customHeight="1">
      <c r="B4" s="20" t="inlineStr">
        <is>
          <t>項目</t>
        </is>
      </c>
      <c r="C4" s="20" t="inlineStr">
        <is>
          <t>Starter</t>
        </is>
      </c>
      <c r="D4" s="20" t="inlineStr">
        <is>
          <t>Business</t>
        </is>
      </c>
      <c r="E4" s="20" t="inlineStr">
        <is>
          <t>Enterprise</t>
        </is>
      </c>
    </row>
    <row r="5" ht="22" customHeight="1">
      <c r="B5" s="21" t="inlineStr">
        <is>
          <t>MVP 開発費 (一括)</t>
        </is>
      </c>
      <c r="C5" s="22" t="inlineStr">
        <is>
          <t>¥5,000,000</t>
        </is>
      </c>
      <c r="D5" s="22" t="inlineStr">
        <is>
          <t>¥5,000,000</t>
        </is>
      </c>
      <c r="E5" s="22" t="inlineStr">
        <is>
          <t>¥5,000,000 (規模により協議)</t>
        </is>
      </c>
    </row>
    <row r="6" ht="22" customHeight="1">
      <c r="B6" s="23" t="inlineStr">
        <is>
          <t>月額/店舗 (税抜)</t>
        </is>
      </c>
      <c r="C6" s="24" t="inlineStr">
        <is>
          <t>¥15,800</t>
        </is>
      </c>
      <c r="D6" s="24" t="inlineStr">
        <is>
          <t>¥12,800</t>
        </is>
      </c>
      <c r="E6" s="24" t="inlineStr">
        <is>
          <t>¥9,800〜</t>
        </is>
      </c>
    </row>
    <row r="7" ht="22" customHeight="1">
      <c r="B7" s="21" t="inlineStr">
        <is>
          <t>本部ライセンス/月</t>
        </is>
      </c>
      <c r="C7" s="22" t="inlineStr">
        <is>
          <t>─</t>
        </is>
      </c>
      <c r="D7" s="22" t="inlineStr">
        <is>
          <t>─</t>
        </is>
      </c>
      <c r="E7" s="22" t="inlineStr">
        <is>
          <t>¥80,000〜¥150,000</t>
        </is>
      </c>
    </row>
    <row r="8" ht="22" customHeight="1">
      <c r="B8" s="23" t="inlineStr">
        <is>
          <t>最低契約期間</t>
        </is>
      </c>
      <c r="C8" s="24" t="inlineStr">
        <is>
          <t>3 ヶ月</t>
        </is>
      </c>
      <c r="D8" s="24" t="inlineStr">
        <is>
          <t>6 ヶ月</t>
        </is>
      </c>
      <c r="E8" s="24" t="inlineStr">
        <is>
          <t>12 ヶ月 (年間契約割引 10〜20%)</t>
        </is>
      </c>
    </row>
    <row r="9" ht="22" customHeight="1">
      <c r="B9" s="21" t="inlineStr">
        <is>
          <t>対象店舗数</t>
        </is>
      </c>
      <c r="C9" s="22" t="inlineStr">
        <is>
          <t>単独店舗のみ</t>
        </is>
      </c>
      <c r="D9" s="22" t="inlineStr">
        <is>
          <t>1〜5 店舗</t>
        </is>
      </c>
      <c r="E9" s="22" t="inlineStr">
        <is>
          <t>10 店舗以上</t>
        </is>
      </c>
    </row>
    <row r="10" ht="22" customHeight="1">
      <c r="B10" s="23" t="inlineStr">
        <is>
          <t>スタッフ登録/店舗</t>
        </is>
      </c>
      <c r="C10" s="24" t="inlineStr">
        <is>
          <t>〜10 名</t>
        </is>
      </c>
      <c r="D10" s="24" t="inlineStr">
        <is>
          <t>〜20 名</t>
        </is>
      </c>
      <c r="E10" s="24" t="inlineStr">
        <is>
          <t>無制限</t>
        </is>
      </c>
    </row>
    <row r="11" ht="22" customHeight="1">
      <c r="B11" s="21" t="inlineStr">
        <is>
          <t>月間翻訳 API 字数</t>
        </is>
      </c>
      <c r="C11" s="22" t="inlineStr">
        <is>
          <t>50 万字</t>
        </is>
      </c>
      <c r="D11" s="22" t="inlineStr">
        <is>
          <t>200 万字/店舗</t>
        </is>
      </c>
      <c r="E11" s="22" t="inlineStr">
        <is>
          <t>Fair Use 無制限</t>
        </is>
      </c>
    </row>
    <row r="12" ht="22" customHeight="1">
      <c r="B12" s="23" t="inlineStr">
        <is>
          <t>超過課金</t>
        </is>
      </c>
      <c r="C12" s="24" t="inlineStr">
        <is>
          <t>¥1,000/10 万字</t>
        </is>
      </c>
      <c r="D12" s="24" t="inlineStr">
        <is>
          <t>¥800/10 万字</t>
        </is>
      </c>
      <c r="E12" s="24" t="inlineStr">
        <is>
          <t>─</t>
        </is>
      </c>
    </row>
    <row r="13" ht="22" customHeight="1">
      <c r="B13" s="21" t="inlineStr">
        <is>
          <t>リアルタイム指示送受信</t>
        </is>
      </c>
      <c r="C13" s="22" t="inlineStr">
        <is>
          <t>✓</t>
        </is>
      </c>
      <c r="D13" s="22" t="inlineStr">
        <is>
          <t>✓</t>
        </is>
      </c>
      <c r="E13" s="22" t="inlineStr">
        <is>
          <t>✓</t>
        </is>
      </c>
    </row>
    <row r="14" ht="22" customHeight="1">
      <c r="B14" s="23" t="inlineStr">
        <is>
          <t>6 言語自動翻訳</t>
        </is>
      </c>
      <c r="C14" s="24" t="inlineStr">
        <is>
          <t>✓</t>
        </is>
      </c>
      <c r="D14" s="24" t="inlineStr">
        <is>
          <t>✓</t>
        </is>
      </c>
      <c r="E14" s="24" t="inlineStr">
        <is>
          <t>✓</t>
        </is>
      </c>
    </row>
    <row r="15" ht="22" customHeight="1">
      <c r="B15" s="21" t="inlineStr">
        <is>
          <t>やさしい日本語変換</t>
        </is>
      </c>
      <c r="C15" s="22" t="inlineStr">
        <is>
          <t>✓</t>
        </is>
      </c>
      <c r="D15" s="22" t="inlineStr">
        <is>
          <t>✓</t>
        </is>
      </c>
      <c r="E15" s="22" t="inlineStr">
        <is>
          <t>✓</t>
        </is>
      </c>
    </row>
    <row r="16" ht="22" customHeight="1">
      <c r="B16" s="23" t="inlineStr">
        <is>
          <t>3 ボタン応答 + カスタム音声応答</t>
        </is>
      </c>
      <c r="C16" s="24" t="inlineStr">
        <is>
          <t>✓</t>
        </is>
      </c>
      <c r="D16" s="24" t="inlineStr">
        <is>
          <t>✓</t>
        </is>
      </c>
      <c r="E16" s="24" t="inlineStr">
        <is>
          <t>✓</t>
        </is>
      </c>
    </row>
    <row r="17" ht="22" customHeight="1">
      <c r="B17" s="21" t="inlineStr">
        <is>
          <t>画像添付指示</t>
        </is>
      </c>
      <c r="C17" s="22" t="inlineStr">
        <is>
          <t>✓</t>
        </is>
      </c>
      <c r="D17" s="22" t="inlineStr">
        <is>
          <t>✓</t>
        </is>
      </c>
      <c r="E17" s="22" t="inlineStr">
        <is>
          <t>✓</t>
        </is>
      </c>
    </row>
    <row r="18" ht="22" customHeight="1">
      <c r="B18" s="23" t="inlineStr">
        <is>
          <t>CSV 一括登録</t>
        </is>
      </c>
      <c r="C18" s="24" t="inlineStr">
        <is>
          <t>✓</t>
        </is>
      </c>
      <c r="D18" s="24" t="inlineStr">
        <is>
          <t>✓</t>
        </is>
      </c>
      <c r="E18" s="24" t="inlineStr">
        <is>
          <t>✓</t>
        </is>
      </c>
    </row>
    <row r="19" ht="22" customHeight="1">
      <c r="B19" s="21" t="inlineStr">
        <is>
          <t>60 日分の履歴保持</t>
        </is>
      </c>
      <c r="C19" s="22" t="inlineStr">
        <is>
          <t>✓</t>
        </is>
      </c>
      <c r="D19" s="22" t="inlineStr">
        <is>
          <t>✓</t>
        </is>
      </c>
      <c r="E19" s="22" t="inlineStr">
        <is>
          <t>選択により最大 12 ヶ月</t>
        </is>
      </c>
    </row>
    <row r="20" ht="22" customHeight="1">
      <c r="B20" s="23" t="inlineStr">
        <is>
          <t>PWA (iOS/Android 対応)</t>
        </is>
      </c>
      <c r="C20" s="24" t="inlineStr">
        <is>
          <t>✓</t>
        </is>
      </c>
      <c r="D20" s="24" t="inlineStr">
        <is>
          <t>✓</t>
        </is>
      </c>
      <c r="E20" s="24" t="inlineStr">
        <is>
          <t>✓</t>
        </is>
      </c>
    </row>
    <row r="21" ht="22" customHeight="1">
      <c r="B21" s="21" t="inlineStr">
        <is>
          <t>店舗専用業務用語辞書</t>
        </is>
      </c>
      <c r="C21" s="22" t="inlineStr">
        <is>
          <t>─</t>
        </is>
      </c>
      <c r="D21" s="22" t="inlineStr">
        <is>
          <t>✓</t>
        </is>
      </c>
      <c r="E21" s="22" t="inlineStr">
        <is>
          <t>✓</t>
        </is>
      </c>
    </row>
    <row r="22" ht="22" customHeight="1">
      <c r="B22" s="23" t="inlineStr">
        <is>
          <t>表現・言い換え辞書</t>
        </is>
      </c>
      <c r="C22" s="24" t="inlineStr">
        <is>
          <t>─</t>
        </is>
      </c>
      <c r="D22" s="24" t="inlineStr">
        <is>
          <t>✓</t>
        </is>
      </c>
      <c r="E22" s="24" t="inlineStr">
        <is>
          <t>✓</t>
        </is>
      </c>
    </row>
    <row r="23" ht="22" customHeight="1">
      <c r="B23" s="21" t="inlineStr">
        <is>
          <t>店舗別ロゴ・ブランド統合</t>
        </is>
      </c>
      <c r="C23" s="22" t="inlineStr">
        <is>
          <t>─</t>
        </is>
      </c>
      <c r="D23" s="22" t="inlineStr">
        <is>
          <t>オプション</t>
        </is>
      </c>
      <c r="E23" s="22" t="inlineStr">
        <is>
          <t>標準</t>
        </is>
      </c>
    </row>
    <row r="24" ht="22" customHeight="1">
      <c r="B24" s="23" t="inlineStr">
        <is>
          <t>本部一括ダッシュボード</t>
        </is>
      </c>
      <c r="C24" s="24" t="inlineStr">
        <is>
          <t>─</t>
        </is>
      </c>
      <c r="D24" s="24" t="inlineStr">
        <is>
          <t>─</t>
        </is>
      </c>
      <c r="E24" s="24" t="inlineStr">
        <is>
          <t>✓</t>
        </is>
      </c>
    </row>
    <row r="25" ht="22" customHeight="1">
      <c r="B25" s="21" t="inlineStr">
        <is>
          <t>複数店舗一斉指示</t>
        </is>
      </c>
      <c r="C25" s="22" t="inlineStr">
        <is>
          <t>─</t>
        </is>
      </c>
      <c r="D25" s="22" t="inlineStr">
        <is>
          <t>─</t>
        </is>
      </c>
      <c r="E25" s="22" t="inlineStr">
        <is>
          <t>✓</t>
        </is>
      </c>
    </row>
    <row r="26" ht="22" customHeight="1">
      <c r="B26" s="23" t="inlineStr">
        <is>
          <t>店舗別 売上・稼働分析</t>
        </is>
      </c>
      <c r="C26" s="24" t="inlineStr">
        <is>
          <t>─</t>
        </is>
      </c>
      <c r="D26" s="24" t="inlineStr">
        <is>
          <t>─</t>
        </is>
      </c>
      <c r="E26" s="24" t="inlineStr">
        <is>
          <t>✓</t>
        </is>
      </c>
    </row>
    <row r="27" ht="22" customHeight="1">
      <c r="B27" s="21" t="inlineStr">
        <is>
          <t>SSO (SAML/OIDC)</t>
        </is>
      </c>
      <c r="C27" s="22" t="inlineStr">
        <is>
          <t>─</t>
        </is>
      </c>
      <c r="D27" s="22" t="inlineStr">
        <is>
          <t>─</t>
        </is>
      </c>
      <c r="E27" s="22" t="inlineStr">
        <is>
          <t>✓</t>
        </is>
      </c>
    </row>
    <row r="28" ht="22" customHeight="1">
      <c r="B28" s="23" t="inlineStr">
        <is>
          <t>監査ログ</t>
        </is>
      </c>
      <c r="C28" s="24" t="inlineStr">
        <is>
          <t>─</t>
        </is>
      </c>
      <c r="D28" s="24" t="inlineStr">
        <is>
          <t>─</t>
        </is>
      </c>
      <c r="E28" s="24" t="inlineStr">
        <is>
          <t>✓</t>
        </is>
      </c>
    </row>
    <row r="29" ht="22" customHeight="1">
      <c r="B29" s="21" t="inlineStr">
        <is>
          <t>DB 行レベル分離 (Postgres RLS)</t>
        </is>
      </c>
      <c r="C29" s="22" t="inlineStr">
        <is>
          <t>─</t>
        </is>
      </c>
      <c r="D29" s="22" t="inlineStr">
        <is>
          <t>─</t>
        </is>
      </c>
      <c r="E29" s="22" t="inlineStr">
        <is>
          <t>✓</t>
        </is>
      </c>
    </row>
    <row r="30" ht="22" customHeight="1">
      <c r="B30" s="23" t="inlineStr">
        <is>
          <t>メールサポート</t>
        </is>
      </c>
      <c r="C30" s="24" t="inlineStr">
        <is>
          <t>✓</t>
        </is>
      </c>
      <c r="D30" s="24" t="inlineStr">
        <is>
          <t>✓</t>
        </is>
      </c>
      <c r="E30" s="24" t="inlineStr">
        <is>
          <t>✓</t>
        </is>
      </c>
    </row>
    <row r="31" ht="22" customHeight="1">
      <c r="B31" s="21" t="inlineStr">
        <is>
          <t>チャットサポート</t>
        </is>
      </c>
      <c r="C31" s="22" t="inlineStr">
        <is>
          <t>─</t>
        </is>
      </c>
      <c r="D31" s="22" t="inlineStr">
        <is>
          <t>✓</t>
        </is>
      </c>
      <c r="E31" s="22" t="inlineStr">
        <is>
          <t>✓</t>
        </is>
      </c>
    </row>
    <row r="32" ht="22" customHeight="1">
      <c r="B32" s="23" t="inlineStr">
        <is>
          <t>電話サポート</t>
        </is>
      </c>
      <c r="C32" s="24" t="inlineStr">
        <is>
          <t>─</t>
        </is>
      </c>
      <c r="D32" s="24" t="inlineStr">
        <is>
          <t>─</t>
        </is>
      </c>
      <c r="E32" s="24" t="inlineStr">
        <is>
          <t>✓</t>
        </is>
      </c>
    </row>
    <row r="33" ht="22" customHeight="1">
      <c r="B33" s="21" t="inlineStr">
        <is>
          <t>専任カスタマーサクセス</t>
        </is>
      </c>
      <c r="C33" s="22" t="inlineStr">
        <is>
          <t>─</t>
        </is>
      </c>
      <c r="D33" s="22" t="inlineStr">
        <is>
          <t>─</t>
        </is>
      </c>
      <c r="E33" s="22" t="inlineStr">
        <is>
          <t>✓</t>
        </is>
      </c>
    </row>
    <row r="34" ht="22" customHeight="1">
      <c r="B34" s="23" t="inlineStr">
        <is>
          <t>応答時間 (営業時間内)</t>
        </is>
      </c>
      <c r="C34" s="24" t="inlineStr">
        <is>
          <t>4 時間</t>
        </is>
      </c>
      <c r="D34" s="24" t="inlineStr">
        <is>
          <t>2 時間</t>
        </is>
      </c>
      <c r="E34" s="24" t="inlineStr">
        <is>
          <t>1 時間 (重大障害 24h)</t>
        </is>
      </c>
    </row>
    <row r="35" ht="22" customHeight="1">
      <c r="B35" s="21" t="inlineStr">
        <is>
          <t>稼働率目標 (SLA)</t>
        </is>
      </c>
      <c r="C35" s="22" t="inlineStr">
        <is>
          <t>ベストエフォート</t>
        </is>
      </c>
      <c r="D35" s="22" t="inlineStr">
        <is>
          <t>99.5%</t>
        </is>
      </c>
      <c r="E35" s="22" t="inlineStr">
        <is>
          <t>99.9% + 障害時クレジット</t>
        </is>
      </c>
    </row>
    <row r="36" ht="22" customHeight="1">
      <c r="B36" s="23" t="inlineStr">
        <is>
          <t>バックアップ</t>
        </is>
      </c>
      <c r="C36" s="24" t="inlineStr">
        <is>
          <t>日次/7 日</t>
        </is>
      </c>
      <c r="D36" s="24" t="inlineStr">
        <is>
          <t>日次/14 日</t>
        </is>
      </c>
      <c r="E36" s="24" t="inlineStr">
        <is>
          <t>日次/30 日 + オンデマンド</t>
        </is>
      </c>
    </row>
    <row r="37" ht="22" customHeight="1">
      <c r="B37" s="21" t="inlineStr">
        <is>
          <t>オンライントレーニング</t>
        </is>
      </c>
      <c r="C37" s="22" t="inlineStr">
        <is>
          <t>1 回 (1 時間)</t>
        </is>
      </c>
      <c r="D37" s="22" t="inlineStr">
        <is>
          <t>2 回 (各 1 時間)</t>
        </is>
      </c>
      <c r="E37" s="22" t="inlineStr">
        <is>
          <t>無制限</t>
        </is>
      </c>
    </row>
    <row r="38" ht="22" customHeight="1">
      <c r="B38" s="23" t="inlineStr">
        <is>
          <t>オンサイトトレーニング</t>
        </is>
      </c>
      <c r="C38" s="24" t="inlineStr">
        <is>
          <t>別途有料</t>
        </is>
      </c>
      <c r="D38" s="24" t="inlineStr">
        <is>
          <t>別途有料</t>
        </is>
      </c>
      <c r="E38" s="24" t="inlineStr">
        <is>
          <t>1 日含む</t>
        </is>
      </c>
    </row>
    <row r="39" ht="22" customHeight="1">
      <c r="B39" s="21" t="inlineStr">
        <is>
          <t>ペネトレーションテスト</t>
        </is>
      </c>
      <c r="C39" s="22" t="inlineStr">
        <is>
          <t>─</t>
        </is>
      </c>
      <c r="D39" s="22" t="inlineStr">
        <is>
          <t>─</t>
        </is>
      </c>
      <c r="E39" s="22" t="inlineStr">
        <is>
          <t>年 1 回含む</t>
        </is>
      </c>
    </row>
    <row r="40" ht="22" customHeight="1">
      <c r="B40" s="23" t="inlineStr">
        <is>
          <t>データ削除 SLA</t>
        </is>
      </c>
      <c r="C40" s="24" t="inlineStr">
        <is>
          <t>5 営業日</t>
        </is>
      </c>
      <c r="D40" s="24" t="inlineStr">
        <is>
          <t>5 営業日</t>
        </is>
      </c>
      <c r="E40" s="24" t="inlineStr">
        <is>
          <t>2 営業日</t>
        </is>
      </c>
    </row>
    <row r="41" ht="22" customHeight="1">
      <c r="B41" s="21" t="inlineStr">
        <is>
          <t>DPA / 個人情報チェックシート</t>
        </is>
      </c>
      <c r="C41" s="22" t="inlineStr">
        <is>
          <t>標準</t>
        </is>
      </c>
      <c r="D41" s="22" t="inlineStr">
        <is>
          <t>標準 + カスタム項目</t>
        </is>
      </c>
      <c r="E41" s="22" t="inlineStr">
        <is>
          <t>個別協議 + DPIA</t>
        </is>
      </c>
    </row>
    <row r="42" ht="22" customHeight="1">
      <c r="B42" s="23" t="inlineStr">
        <is>
          <t>ホスティング</t>
        </is>
      </c>
      <c r="C42" s="24" t="inlineStr">
        <is>
          <t>日本 (東京)</t>
        </is>
      </c>
      <c r="D42" s="24" t="inlineStr">
        <is>
          <t>日本 (東京)</t>
        </is>
      </c>
      <c r="E42" s="24" t="inlineStr">
        <is>
          <t>日本 (東京) + 専用環境オプション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9"/>
  <sheetViews>
    <sheetView workbookViewId="0">
      <selection activeCell="A1" sqref="A1"/>
    </sheetView>
  </sheetViews>
  <sheetFormatPr baseColWidth="8" defaultRowHeight="15"/>
  <cols>
    <col width="4" customWidth="1" min="1" max="1"/>
    <col width="32" customWidth="1" min="2" max="2"/>
    <col width="22" customWidth="1" min="3" max="3"/>
    <col width="22" customWidth="1" min="4" max="4"/>
    <col width="22" customWidth="1" min="5" max="5"/>
    <col width="4" customWidth="1" min="6" max="6"/>
  </cols>
  <sheetData>
    <row r="2">
      <c r="B2" s="12" t="inlineStr">
        <is>
          <t>自社開発 vs SaaS — 5 年総コスト比較</t>
        </is>
      </c>
    </row>
    <row r="4">
      <c r="B4" s="25" t="inlineStr">
        <is>
          <t>前提: 50 店舗チェーン、5 年運用</t>
        </is>
      </c>
    </row>
    <row r="6">
      <c r="B6" s="4" t="inlineStr">
        <is>
          <t>前提条件 (調整可)</t>
        </is>
      </c>
    </row>
    <row r="7">
      <c r="B7" s="5" t="inlineStr">
        <is>
          <t>店舗数</t>
        </is>
      </c>
      <c r="C7" s="14" t="n">
        <v>50</v>
      </c>
    </row>
    <row r="8">
      <c r="B8" s="5" t="inlineStr">
        <is>
          <t>運用年数</t>
        </is>
      </c>
      <c r="C8" s="14" t="n">
        <v>5</v>
      </c>
    </row>
    <row r="9">
      <c r="B9" s="5" t="inlineStr">
        <is>
          <t>中堅 IT 開発初期費 (¥)</t>
        </is>
      </c>
      <c r="C9" s="16" t="n">
        <v>55000000</v>
      </c>
    </row>
    <row r="10">
      <c r="B10" s="5" t="inlineStr">
        <is>
          <t>中堅 IT 年間運用費 (¥)</t>
        </is>
      </c>
      <c r="C10" s="16" t="n">
        <v>6000000</v>
      </c>
    </row>
    <row r="11">
      <c r="B11" s="5" t="inlineStr">
        <is>
          <t>大手 SIer 開発初期費 (¥)</t>
        </is>
      </c>
      <c r="C11" s="16" t="n">
        <v>150000000</v>
      </c>
    </row>
    <row r="12">
      <c r="B12" s="5" t="inlineStr">
        <is>
          <t>大手 SIer 年間運用費 (¥)</t>
        </is>
      </c>
      <c r="C12" s="16" t="n">
        <v>15000000</v>
      </c>
    </row>
    <row r="13">
      <c r="B13" s="5" t="inlineStr">
        <is>
          <t>LinguaSync Enterprise 月額/店舗 (¥)</t>
        </is>
      </c>
      <c r="C13" s="16" t="n">
        <v>9800</v>
      </c>
    </row>
    <row r="14">
      <c r="B14" s="5" t="inlineStr">
        <is>
          <t>LinguaSync Enterprise 本部/月 (¥)</t>
        </is>
      </c>
      <c r="C14" s="16" t="n">
        <v>100000</v>
      </c>
    </row>
    <row r="15">
      <c r="B15" s="5" t="inlineStr">
        <is>
          <t>SaaS 初期費 (MVP 開発費 ¥)</t>
        </is>
      </c>
      <c r="C15" s="16" t="n">
        <v>5000000</v>
      </c>
    </row>
    <row r="17">
      <c r="B17" s="4" t="inlineStr">
        <is>
          <t>5 年総コスト比較</t>
        </is>
      </c>
    </row>
    <row r="18" ht="26" customHeight="1">
      <c r="B18" s="20" t="inlineStr">
        <is>
          <t>形態</t>
        </is>
      </c>
      <c r="C18" s="20" t="inlineStr">
        <is>
          <t>初期費用</t>
        </is>
      </c>
      <c r="D18" s="20" t="inlineStr">
        <is>
          <t>年間運用費 × N</t>
        </is>
      </c>
      <c r="E18" s="20" t="inlineStr">
        <is>
          <t>5 年総額</t>
        </is>
      </c>
    </row>
    <row r="19">
      <c r="B19" s="23" t="inlineStr">
        <is>
          <t>自社開発 (中堅 IT 会社)</t>
        </is>
      </c>
      <c r="C19" s="18">
        <f>$C$9</f>
        <v/>
      </c>
      <c r="D19" s="18">
        <f>$C$10*$C$8</f>
        <v/>
      </c>
      <c r="E19" s="26">
        <f>C19+D19</f>
        <v/>
      </c>
    </row>
    <row r="20">
      <c r="B20" s="23" t="inlineStr">
        <is>
          <t>自社開発 (大手 SIer)</t>
        </is>
      </c>
      <c r="C20" s="18">
        <f>$C$11</f>
        <v/>
      </c>
      <c r="D20" s="18">
        <f>$C$12*$C$8</f>
        <v/>
      </c>
      <c r="E20" s="26">
        <f>C20+D20</f>
        <v/>
      </c>
    </row>
    <row r="21">
      <c r="B21" s="27" t="inlineStr">
        <is>
          <t>LinguaSync SaaS (Enterprise)</t>
        </is>
      </c>
      <c r="C21" s="28">
        <f>$C$15</f>
        <v/>
      </c>
      <c r="D21" s="28">
        <f>($C$13*$C$7+$C$14)*12*$C$8</f>
        <v/>
      </c>
      <c r="E21" s="19">
        <f>C21+D21</f>
        <v/>
      </c>
    </row>
    <row r="23">
      <c r="B23" s="4" t="inlineStr">
        <is>
          <t>コスト比較</t>
        </is>
      </c>
    </row>
    <row r="24">
      <c r="B24" s="23" t="inlineStr">
        <is>
          <t>中堅 IT 開発 / LinguaSync SaaS</t>
        </is>
      </c>
      <c r="C24" s="29">
        <f>E19/E21</f>
        <v/>
      </c>
    </row>
    <row r="25">
      <c r="B25" s="23" t="inlineStr">
        <is>
          <t>大手 SIer 開発 / LinguaSync SaaS</t>
        </is>
      </c>
      <c r="C25" s="29">
        <f>E20/E21</f>
        <v/>
      </c>
    </row>
    <row r="27" ht="16" customHeight="1">
      <c r="B27" s="13" t="inlineStr">
        <is>
          <t>※ 中堅 IT 開発の年間運用費は、サーバ運用・保守エンジニア 1〜2 名分を想定。
※ 大手 SIer は運用も SLA 付き保守契約での想定。
※ SaaS の年間運用費には、機能改善・セキュリティアップデート・サポート全て含む。</t>
        </is>
      </c>
    </row>
    <row r="28" ht="16" customHeight="1"/>
    <row r="29" ht="16" customHeight="1"/>
  </sheetData>
  <mergeCells count="2">
    <mergeCell ref="B27:E29"/>
    <mergeCell ref="B4: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9"/>
  <sheetViews>
    <sheetView workbookViewId="0">
      <selection activeCell="A1" sqref="A1"/>
    </sheetView>
  </sheetViews>
  <sheetFormatPr baseColWidth="8" defaultRowHeight="15"/>
  <cols>
    <col width="4" customWidth="1" min="1" max="1"/>
    <col width="44" customWidth="1" min="2" max="2"/>
    <col width="28" customWidth="1" min="3" max="3"/>
    <col width="38" customWidth="1" min="4" max="4"/>
    <col width="4" customWidth="1" min="5" max="5"/>
  </cols>
  <sheetData>
    <row r="2">
      <c r="B2" s="12" t="inlineStr">
        <is>
          <t>オプション・アドオン (全プラン共通)</t>
        </is>
      </c>
    </row>
    <row r="4" ht="26" customHeight="1">
      <c r="B4" s="20" t="inlineStr">
        <is>
          <t>項目</t>
        </is>
      </c>
      <c r="C4" s="20" t="inlineStr">
        <is>
          <t>料金 (税抜)</t>
        </is>
      </c>
      <c r="D4" s="20" t="inlineStr">
        <is>
          <t>備考</t>
        </is>
      </c>
    </row>
    <row r="5" ht="22" customHeight="1">
      <c r="B5" s="30" t="inlineStr">
        <is>
          <t>標準 6 言語以外の言語追加 (タイ語・タガログ語等)</t>
        </is>
      </c>
      <c r="C5" s="31" t="inlineStr">
        <is>
          <t>初期 ¥100,000 + ¥3,000/月</t>
        </is>
      </c>
      <c r="D5" s="32" t="inlineStr">
        <is>
          <t>翻訳精度評価込み</t>
        </is>
      </c>
    </row>
    <row r="6" ht="22" customHeight="1">
      <c r="B6" s="6" t="inlineStr">
        <is>
          <t>カスタム機能開発</t>
        </is>
      </c>
      <c r="C6" s="33" t="inlineStr">
        <is>
          <t>¥500,000〜</t>
        </is>
      </c>
      <c r="D6" s="34" t="inlineStr">
        <is>
          <t>規模・要件に応じ個別見積</t>
        </is>
      </c>
    </row>
    <row r="7" ht="22" customHeight="1">
      <c r="B7" s="30" t="inlineStr">
        <is>
          <t>POS / 勤怠管理 / シフト管理連携</t>
        </is>
      </c>
      <c r="C7" s="31" t="inlineStr">
        <is>
          <t>¥300,000〜¥2,000,000</t>
        </is>
      </c>
      <c r="D7" s="32" t="inlineStr">
        <is>
          <t>対象システムにより変動</t>
        </is>
      </c>
    </row>
    <row r="8" ht="22" customHeight="1">
      <c r="B8" s="6" t="inlineStr">
        <is>
          <t>専用ロゴ・ブランド統合</t>
        </is>
      </c>
      <c r="C8" s="33" t="inlineStr">
        <is>
          <t>¥150,000 (一括)</t>
        </is>
      </c>
      <c r="D8" s="34" t="inlineStr">
        <is>
          <t>管理者・スタッフ画面</t>
        </is>
      </c>
    </row>
    <row r="9" ht="22" customHeight="1">
      <c r="B9" s="30" t="inlineStr">
        <is>
          <t>オンサイトサポート (店舗訪問)</t>
        </is>
      </c>
      <c r="C9" s="31" t="inlineStr">
        <is>
          <t>¥150,000/日</t>
        </is>
      </c>
      <c r="D9" s="32" t="inlineStr">
        <is>
          <t>交通費別</t>
        </is>
      </c>
    </row>
    <row r="10" ht="22" customHeight="1">
      <c r="B10" s="6" t="inlineStr">
        <is>
          <t>プレミアム SLA (24 時間緊急対応)</t>
        </is>
      </c>
      <c r="C10" s="33" t="inlineStr">
        <is>
          <t>¥150,000/月</t>
        </is>
      </c>
      <c r="D10" s="34" t="inlineStr">
        <is>
          <t>Enterprise の標準オプション</t>
        </is>
      </c>
    </row>
    <row r="11" ht="22" customHeight="1">
      <c r="B11" s="30" t="inlineStr">
        <is>
          <t>月次定例ミーティング・改善レポート</t>
        </is>
      </c>
      <c r="C11" s="31" t="inlineStr">
        <is>
          <t>¥50,000/月</t>
        </is>
      </c>
      <c r="D11" s="32" t="inlineStr">
        <is>
          <t>Enterprise 既定</t>
        </is>
      </c>
    </row>
    <row r="12" ht="22" customHeight="1">
      <c r="B12" s="6" t="inlineStr">
        <is>
          <t>データ保持期間延長 (60 日 → 6 ヶ月)</t>
        </is>
      </c>
      <c r="C12" s="33" t="inlineStr">
        <is>
          <t>¥10,000/月</t>
        </is>
      </c>
      <c r="D12" s="34" t="inlineStr"/>
    </row>
    <row r="13" ht="22" customHeight="1">
      <c r="B13" s="30" t="inlineStr">
        <is>
          <t>データ保持期間延長 (60 日 → 12 ヶ月)</t>
        </is>
      </c>
      <c r="C13" s="31" t="inlineStr">
        <is>
          <t>¥20,000/月</t>
        </is>
      </c>
      <c r="D13" s="32" t="inlineStr"/>
    </row>
    <row r="14" ht="22" customHeight="1">
      <c r="B14" s="6" t="inlineStr">
        <is>
          <t>ペネトレーションテスト (年 1 回)</t>
        </is>
      </c>
      <c r="C14" s="33" t="inlineStr">
        <is>
          <t>¥500,000〜¥1,500,000/年</t>
        </is>
      </c>
      <c r="D14" s="34" t="inlineStr">
        <is>
          <t>Enterprise 既定</t>
        </is>
      </c>
    </row>
    <row r="15" ht="22" customHeight="1">
      <c r="B15" s="30" t="inlineStr">
        <is>
          <t>DPIA (データ保護影響評価) 個別実施</t>
        </is>
      </c>
      <c r="C15" s="31" t="inlineStr">
        <is>
          <t>¥300,000〜</t>
        </is>
      </c>
      <c r="D15" s="32" t="inlineStr"/>
    </row>
    <row r="16" ht="22" customHeight="1">
      <c r="B16" s="6" t="inlineStr">
        <is>
          <t>管理者向けスタッフ教育コンテンツ作成</t>
        </is>
      </c>
      <c r="C16" s="33" t="inlineStr">
        <is>
          <t>¥200,000〜</t>
        </is>
      </c>
      <c r="D16" s="34" t="inlineStr">
        <is>
          <t>業種別カリキュラム作成</t>
        </is>
      </c>
    </row>
    <row r="19">
      <c r="B19" s="13" t="inlineStr">
        <is>
          <t>※ 上記オプションは事前見積もりとお客様の承諾の上で実施いたします。
※ 既存契約の途中追加も可能です。次回請求月から適用されます。</t>
        </is>
      </c>
    </row>
  </sheetData>
  <mergeCells count="1">
    <mergeCell ref="B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2026-05-09T06:24:53Z</dcterms:created>
  <dcterms:modified xsi:type="dcterms:W3CDTF">2026-05-09T06:24:53Z</dcterms:modified>
</cp:coreProperties>
</file>